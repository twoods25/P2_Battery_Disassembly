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muslykke/Desktop/P2_Battery_Disassembly/test/"/>
    </mc:Choice>
  </mc:AlternateContent>
  <xr:revisionPtr revIDLastSave="0" documentId="13_ncr:1_{A132B4AF-20C2-8D44-8502-B3E2A41FF901}" xr6:coauthVersionLast="47" xr6:coauthVersionMax="47" xr10:uidLastSave="{00000000-0000-0000-0000-000000000000}"/>
  <bookViews>
    <workbookView xWindow="0" yWindow="660" windowWidth="29400" windowHeight="18460" xr2:uid="{E0BA53A1-16C5-214B-8FE9-9C10E9AC2AA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1" l="1"/>
  <c r="C15" i="1"/>
  <c r="H13" i="1" l="1"/>
  <c r="H12" i="1"/>
  <c r="H11" i="1"/>
  <c r="H10" i="1"/>
  <c r="N12" i="1"/>
  <c r="N13" i="1"/>
  <c r="L13" i="1"/>
  <c r="K12" i="1"/>
  <c r="C11" i="1"/>
  <c r="L11" i="1" s="1"/>
  <c r="C12" i="1"/>
  <c r="M12" i="1" s="1"/>
  <c r="C13" i="1"/>
  <c r="M13" i="1" s="1"/>
  <c r="C10" i="1"/>
  <c r="N10" i="1" s="1"/>
  <c r="D13" i="1"/>
  <c r="D12" i="1"/>
  <c r="L12" i="1" s="1"/>
  <c r="D11" i="1"/>
  <c r="D10" i="1"/>
  <c r="M10" i="1" s="1"/>
  <c r="K13" i="1"/>
  <c r="M11" i="1" l="1"/>
  <c r="J10" i="1"/>
  <c r="K10" i="1"/>
  <c r="K11" i="1"/>
  <c r="J13" i="1"/>
  <c r="E13" i="1" s="1"/>
  <c r="J11" i="1"/>
  <c r="L10" i="1"/>
  <c r="N11" i="1"/>
  <c r="J12" i="1"/>
  <c r="E12" i="1" s="1"/>
  <c r="F12" i="1"/>
  <c r="E11" i="1" l="1"/>
  <c r="F11" i="1"/>
  <c r="E10" i="1"/>
  <c r="G12" i="1"/>
  <c r="F13" i="1"/>
  <c r="G13" i="1" s="1"/>
  <c r="F10" i="1"/>
  <c r="G10" i="1" l="1"/>
  <c r="G11" i="1"/>
</calcChain>
</file>

<file path=xl/sharedStrings.xml><?xml version="1.0" encoding="utf-8"?>
<sst xmlns="http://schemas.openxmlformats.org/spreadsheetml/2006/main" count="28" uniqueCount="19">
  <si>
    <t>x</t>
  </si>
  <si>
    <t>y</t>
  </si>
  <si>
    <t>Speed:</t>
  </si>
  <si>
    <t>Gripper repeatability &amp; accuracy</t>
  </si>
  <si>
    <t>Mean X</t>
  </si>
  <si>
    <t>Mean Y</t>
  </si>
  <si>
    <t>Dist</t>
  </si>
  <si>
    <t>l1</t>
  </si>
  <si>
    <t>l2</t>
  </si>
  <si>
    <t>l3</t>
  </si>
  <si>
    <t>l4</t>
  </si>
  <si>
    <t>l5</t>
  </si>
  <si>
    <t>Mean dist</t>
  </si>
  <si>
    <t>Std. Dev.</t>
  </si>
  <si>
    <t>Accuracy</t>
  </si>
  <si>
    <t>Repeatability</t>
  </si>
  <si>
    <t>Flexible</t>
  </si>
  <si>
    <t>Mean accuracy</t>
  </si>
  <si>
    <t>Mean repeatability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</si>
</sst>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9" fontId="0" fillId="0" borderId="4" xfId="0" applyNumberFormat="1" applyBorder="1"/>
    <xf numFmtId="9" fontId="0" fillId="0" borderId="6" xfId="0" applyNumberFormat="1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7E26-A92D-B04D-89BF-BDDBF749FAE2}">
  <dimension ref="A1:N16"/>
  <sheetViews>
    <sheetView tabSelected="1" zoomScale="125" workbookViewId="0">
      <selection activeCell="E16" sqref="E16"/>
    </sheetView>
  </sheetViews>
  <sheetFormatPr baseColWidth="10" defaultRowHeight="16" x14ac:dyDescent="0.2"/>
  <cols>
    <col min="1" max="1" width="27.83203125" bestFit="1" customWidth="1"/>
    <col min="2" max="2" width="16.5" bestFit="1" customWidth="1"/>
    <col min="3" max="4" width="7" bestFit="1" customWidth="1"/>
    <col min="5" max="8" width="12.1640625" bestFit="1" customWidth="1"/>
  </cols>
  <sheetData>
    <row r="1" spans="1:14" x14ac:dyDescent="0.2">
      <c r="A1" t="s">
        <v>3</v>
      </c>
    </row>
    <row r="2" spans="1:14" x14ac:dyDescent="0.2">
      <c r="B2" s="2" t="s">
        <v>16</v>
      </c>
      <c r="C2" s="12">
        <v>1</v>
      </c>
      <c r="D2" s="12"/>
      <c r="E2" s="12">
        <v>2</v>
      </c>
      <c r="F2" s="12"/>
      <c r="G2" s="12">
        <v>3</v>
      </c>
      <c r="H2" s="12"/>
      <c r="I2" s="12">
        <v>4</v>
      </c>
      <c r="J2" s="12"/>
      <c r="K2" s="12">
        <v>5</v>
      </c>
      <c r="L2" s="13"/>
    </row>
    <row r="3" spans="1:14" x14ac:dyDescent="0.2">
      <c r="B3" s="3" t="s">
        <v>2</v>
      </c>
      <c r="C3" s="1" t="s">
        <v>0</v>
      </c>
      <c r="D3" s="1" t="s">
        <v>1</v>
      </c>
      <c r="E3" s="1" t="s">
        <v>0</v>
      </c>
      <c r="F3" s="1" t="s">
        <v>1</v>
      </c>
      <c r="G3" s="1" t="s">
        <v>0</v>
      </c>
      <c r="H3" s="1" t="s">
        <v>1</v>
      </c>
      <c r="I3" s="1" t="s">
        <v>0</v>
      </c>
      <c r="J3" s="1" t="s">
        <v>1</v>
      </c>
      <c r="K3" s="1" t="s">
        <v>0</v>
      </c>
      <c r="L3" s="4" t="s">
        <v>1</v>
      </c>
    </row>
    <row r="4" spans="1:14" x14ac:dyDescent="0.2">
      <c r="B4" s="8">
        <v>0.25</v>
      </c>
      <c r="C4">
        <v>-0.44</v>
      </c>
      <c r="D4">
        <v>-0.79</v>
      </c>
      <c r="E4">
        <v>-0.55000000000000004</v>
      </c>
      <c r="F4">
        <v>-0.5</v>
      </c>
      <c r="G4">
        <v>-0.27</v>
      </c>
      <c r="H4">
        <v>-1.1000000000000001</v>
      </c>
      <c r="I4">
        <v>-0.73</v>
      </c>
      <c r="J4">
        <v>-0.6</v>
      </c>
      <c r="K4">
        <v>0.63</v>
      </c>
      <c r="L4" s="5">
        <v>-1.24</v>
      </c>
    </row>
    <row r="5" spans="1:14" x14ac:dyDescent="0.2">
      <c r="B5" s="8">
        <v>0.5</v>
      </c>
      <c r="C5">
        <v>0.4</v>
      </c>
      <c r="D5">
        <v>-1.3</v>
      </c>
      <c r="E5">
        <v>-0.85</v>
      </c>
      <c r="F5">
        <v>-0.11</v>
      </c>
      <c r="G5">
        <v>0.86</v>
      </c>
      <c r="H5">
        <v>-1.47</v>
      </c>
      <c r="I5">
        <v>-0.46</v>
      </c>
      <c r="J5">
        <v>-0.39</v>
      </c>
      <c r="K5">
        <v>0.51</v>
      </c>
      <c r="L5" s="5">
        <v>-0.89</v>
      </c>
    </row>
    <row r="6" spans="1:14" x14ac:dyDescent="0.2">
      <c r="B6" s="8">
        <v>0.75</v>
      </c>
      <c r="C6">
        <v>3.23</v>
      </c>
      <c r="D6">
        <v>-0.6</v>
      </c>
      <c r="E6">
        <v>0.85</v>
      </c>
      <c r="F6">
        <v>-0.56999999999999995</v>
      </c>
      <c r="G6">
        <v>3.47</v>
      </c>
      <c r="H6">
        <v>-0.88</v>
      </c>
      <c r="I6">
        <v>-0.94</v>
      </c>
      <c r="J6">
        <v>-0.38</v>
      </c>
      <c r="K6">
        <v>3.47</v>
      </c>
      <c r="L6" s="5">
        <v>-1.45</v>
      </c>
    </row>
    <row r="7" spans="1:14" x14ac:dyDescent="0.2">
      <c r="B7" s="9">
        <v>1</v>
      </c>
      <c r="C7" s="6">
        <v>-0.5</v>
      </c>
      <c r="D7" s="6">
        <v>0.41</v>
      </c>
      <c r="E7" s="6">
        <v>-0.51</v>
      </c>
      <c r="F7" s="6">
        <v>-0.76</v>
      </c>
      <c r="G7" s="6">
        <v>-0.59</v>
      </c>
      <c r="H7" s="6">
        <v>-1.07</v>
      </c>
      <c r="I7" s="6">
        <v>-0.69</v>
      </c>
      <c r="J7" s="6">
        <v>-0.8</v>
      </c>
      <c r="K7" s="6">
        <v>-0.68</v>
      </c>
      <c r="L7" s="7">
        <v>-0.24</v>
      </c>
    </row>
    <row r="9" spans="1:14" x14ac:dyDescent="0.2">
      <c r="B9" s="2" t="s">
        <v>2</v>
      </c>
      <c r="C9" s="10" t="s">
        <v>4</v>
      </c>
      <c r="D9" s="10" t="s">
        <v>5</v>
      </c>
      <c r="E9" s="10" t="s">
        <v>12</v>
      </c>
      <c r="F9" s="10" t="s">
        <v>13</v>
      </c>
      <c r="G9" s="10" t="s">
        <v>15</v>
      </c>
      <c r="H9" s="10" t="s">
        <v>14</v>
      </c>
      <c r="I9" s="10" t="s">
        <v>6</v>
      </c>
      <c r="J9" s="10" t="s">
        <v>7</v>
      </c>
      <c r="K9" s="10" t="s">
        <v>8</v>
      </c>
      <c r="L9" s="10" t="s">
        <v>9</v>
      </c>
      <c r="M9" s="10" t="s">
        <v>10</v>
      </c>
      <c r="N9" s="11" t="s">
        <v>11</v>
      </c>
    </row>
    <row r="10" spans="1:14" x14ac:dyDescent="0.2">
      <c r="B10" s="8">
        <v>0.25</v>
      </c>
      <c r="C10">
        <f>(C4+E4+G4+I4+K4)/5</f>
        <v>-0.27199999999999996</v>
      </c>
      <c r="D10">
        <f>(D4+F4+H4+J4+L4)/5</f>
        <v>-0.84600000000000009</v>
      </c>
      <c r="E10">
        <f>(J10+K10+L10+M10+N10)/5</f>
        <v>0.47582470982043279</v>
      </c>
      <c r="F10">
        <f>STDEV(J10,K10,L10,M10,N10)</f>
        <v>0.31620967237795894</v>
      </c>
      <c r="G10">
        <f>E10+3*F10</f>
        <v>1.4244537269543096</v>
      </c>
      <c r="H10">
        <f>(SQRT(C4^2+D4^2)+SQRT(E4^2+F4^2)+SQRT(G4^2+H4^2)+SQRT(I4^2+J4^2)+SQRT(K4^2+L4^2))/5</f>
        <v>1.0232039508473016</v>
      </c>
      <c r="J10">
        <f>SQRT((C4-C10)^2+(D4-D10)^2)</f>
        <v>0.1770875489694293</v>
      </c>
      <c r="K10">
        <f>SQRT((E4-C10)^2+(F4-D10)^2)</f>
        <v>0.44384682042344309</v>
      </c>
      <c r="L10">
        <f>SQRT((G4-C10)^2+(H4-D10)^2)</f>
        <v>0.25400787389370433</v>
      </c>
      <c r="M10">
        <f>SQRT((I4-C10)^2+(J4-D10)^2)</f>
        <v>0.51988460258022651</v>
      </c>
      <c r="N10" s="5">
        <f>SQRT((K4-C10)^2+(L4-D10)^2)</f>
        <v>0.98429670323536078</v>
      </c>
    </row>
    <row r="11" spans="1:14" x14ac:dyDescent="0.2">
      <c r="B11" s="8">
        <v>0.5</v>
      </c>
      <c r="C11">
        <f t="shared" ref="C11:C13" si="0">(C5+E5+G5+I5+K5)/5</f>
        <v>9.1999999999999998E-2</v>
      </c>
      <c r="D11">
        <f>(D5+F5+H5+J5+L5)/5</f>
        <v>-0.83200000000000007</v>
      </c>
      <c r="E11">
        <f t="shared" ref="E11:E13" si="1">(J11+K11+L11+M11+N11)/5</f>
        <v>0.77494284706753214</v>
      </c>
      <c r="F11">
        <f t="shared" ref="F11:F13" si="2">STDEV(J11,K11,L11,M11,N11)</f>
        <v>0.31419656224023906</v>
      </c>
      <c r="G11">
        <f t="shared" ref="G11:G13" si="3">E11+3*F11</f>
        <v>1.7175325337882494</v>
      </c>
      <c r="H11">
        <f>(SQRT(C5^2+D5^2)+SQRT(E5^2+F5^2)+SQRT(G5^2+H5^2)+SQRT(I5^2+J5^2)+SQRT(K5^2+L5^2))/5</f>
        <v>1.1098328071950436</v>
      </c>
      <c r="J11">
        <f t="shared" ref="J11:J13" si="4">SQRT((C5-C11)^2+(D5-D11)^2)</f>
        <v>0.56025708384633566</v>
      </c>
      <c r="K11">
        <f t="shared" ref="K11:K12" si="5">SQRT((E5-C11)^2+(F5-D11)^2)</f>
        <v>1.1868647774704582</v>
      </c>
      <c r="L11">
        <f t="shared" ref="L11:L13" si="6">SQRT((G5-C11)^2+(H5-D11)^2)</f>
        <v>0.99843277189803814</v>
      </c>
      <c r="M11">
        <f t="shared" ref="M11:M13" si="7">SQRT((I5-C11)^2+(J5-D11)^2)</f>
        <v>0.70715486281294859</v>
      </c>
      <c r="N11" s="5">
        <f t="shared" ref="N11:N13" si="8">SQRT((K5-C11)^2+(L5-D11)^2)</f>
        <v>0.42200473930988031</v>
      </c>
    </row>
    <row r="12" spans="1:14" x14ac:dyDescent="0.2">
      <c r="B12" s="8">
        <v>0.75</v>
      </c>
      <c r="C12">
        <f t="shared" si="0"/>
        <v>2.0160000000000005</v>
      </c>
      <c r="D12">
        <f>(D6+F6+H6+J6+L6)/5</f>
        <v>-0.77600000000000002</v>
      </c>
      <c r="E12">
        <f t="shared" si="1"/>
        <v>1.6906982003688693</v>
      </c>
      <c r="F12">
        <f>STDEV(J12,K12,L12,M12,N12)</f>
        <v>0.74204750123346774</v>
      </c>
      <c r="G12">
        <f t="shared" si="3"/>
        <v>3.9168407040692728</v>
      </c>
      <c r="H12">
        <f>(SQRT(C6^2+D6^2)+SQRT(E6^2+F6^2)+SQRT(G6^2+H6^2)+SQRT(I6^2+J6^2)+SQRT(K6^2+L6^2))/5</f>
        <v>2.532640293674381</v>
      </c>
      <c r="J12">
        <f t="shared" si="4"/>
        <v>1.2266914852561743</v>
      </c>
      <c r="K12">
        <f t="shared" si="5"/>
        <v>1.1840574310395593</v>
      </c>
      <c r="L12">
        <f t="shared" si="6"/>
        <v>1.457714649717152</v>
      </c>
      <c r="M12">
        <f t="shared" si="7"/>
        <v>2.9824070815366572</v>
      </c>
      <c r="N12" s="5">
        <f t="shared" si="8"/>
        <v>1.6026203542948028</v>
      </c>
    </row>
    <row r="13" spans="1:14" x14ac:dyDescent="0.2">
      <c r="B13" s="9">
        <v>1</v>
      </c>
      <c r="C13" s="6">
        <f t="shared" si="0"/>
        <v>-0.59400000000000008</v>
      </c>
      <c r="D13" s="6">
        <f>(D7+F7+H7+J7+L7)/5</f>
        <v>-0.49199999999999999</v>
      </c>
      <c r="E13" s="6">
        <f t="shared" si="1"/>
        <v>0.47092786263858855</v>
      </c>
      <c r="F13" s="6">
        <f t="shared" si="2"/>
        <v>0.27456089531889522</v>
      </c>
      <c r="G13" s="6">
        <f t="shared" si="3"/>
        <v>1.2946105485952741</v>
      </c>
      <c r="H13" s="6">
        <f>(SQRT(C7^2+D7^2)+SQRT(E7^2+F7^2)+SQRT(G7^2+H7^2)+SQRT(I7^2+J7^2)+SQRT(K7^2+L7^2))/5</f>
        <v>0.91226328797254685</v>
      </c>
      <c r="I13" s="6"/>
      <c r="J13" s="6">
        <f t="shared" si="4"/>
        <v>0.90688477768677977</v>
      </c>
      <c r="K13" s="6">
        <f t="shared" ref="K13" si="9">SQRT((E7-C13)^2+(F7-D13)^2)</f>
        <v>0.28085583490467136</v>
      </c>
      <c r="L13" s="6">
        <f t="shared" si="6"/>
        <v>0.57801384066473716</v>
      </c>
      <c r="M13" s="6">
        <f t="shared" si="7"/>
        <v>0.3226143208228674</v>
      </c>
      <c r="N13" s="7">
        <f t="shared" si="8"/>
        <v>0.26627053911388698</v>
      </c>
    </row>
    <row r="15" spans="1:14" x14ac:dyDescent="0.2">
      <c r="B15" s="2" t="s">
        <v>17</v>
      </c>
      <c r="C15" s="11">
        <f>AVERAGE(H10:H13)</f>
        <v>1.394485084922318</v>
      </c>
    </row>
    <row r="16" spans="1:14" x14ac:dyDescent="0.2">
      <c r="B16" s="14" t="s">
        <v>18</v>
      </c>
      <c r="C16" s="7">
        <f>AVERAGE(G10:G13)</f>
        <v>2.0883593783517767</v>
      </c>
    </row>
  </sheetData>
  <mergeCells count="5"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Lykke Sørensen (AA15164 | AA)</dc:creator>
  <cp:lastModifiedBy>Rasmus Lykke Sørensen (AA15164 | AA)</cp:lastModifiedBy>
  <dcterms:created xsi:type="dcterms:W3CDTF">2026-05-18T10:30:09Z</dcterms:created>
  <dcterms:modified xsi:type="dcterms:W3CDTF">2026-05-19T08:35:39Z</dcterms:modified>
</cp:coreProperties>
</file>